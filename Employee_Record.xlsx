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95" documentId="11_9249BD70655ED1CA9161FE9747354BE7DA3B422A" xr6:coauthVersionLast="47" xr6:coauthVersionMax="47" xr10:uidLastSave="{F29E6AE8-D4CE-49D0-B3B7-63E5A3A0FC06}"/>
  <bookViews>
    <workbookView xWindow="0" yWindow="0" windowWidth="0" windowHeight="0" firstSheet="3" xr2:uid="{00000000-000D-0000-FFFF-FFFF00000000}"/>
  </bookViews>
  <sheets>
    <sheet name="Raw Data" sheetId="1" r:id="rId1"/>
    <sheet name="Departments" sheetId="2" r:id="rId2"/>
    <sheet name="Tenure Bands" sheetId="3" r:id="rId3"/>
    <sheet name="Clean Tabl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2" i="4"/>
  <c r="C2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B16" i="4"/>
  <c r="C16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2" i="4"/>
</calcChain>
</file>

<file path=xl/sharedStrings.xml><?xml version="1.0" encoding="utf-8"?>
<sst xmlns="http://schemas.openxmlformats.org/spreadsheetml/2006/main" count="189" uniqueCount="157">
  <si>
    <t>EmpID</t>
  </si>
  <si>
    <t>First Name</t>
  </si>
  <si>
    <t>Last Name</t>
  </si>
  <si>
    <t>Dept Code</t>
  </si>
  <si>
    <t>Hire Date (text)</t>
  </si>
  <si>
    <t>Street</t>
  </si>
  <si>
    <t>City</t>
  </si>
  <si>
    <t>State</t>
  </si>
  <si>
    <t>Zip</t>
  </si>
  <si>
    <t>Phone</t>
  </si>
  <si>
    <t xml:space="preserve">  john </t>
  </si>
  <si>
    <t xml:space="preserve">SMITH  </t>
  </si>
  <si>
    <t xml:space="preserve"> SAL </t>
  </si>
  <si>
    <t>2019-03-15</t>
  </si>
  <si>
    <t>12 Elm Street</t>
  </si>
  <si>
    <t>Chennai</t>
  </si>
  <si>
    <t>TN</t>
  </si>
  <si>
    <t>600001</t>
  </si>
  <si>
    <t>9876543210</t>
  </si>
  <si>
    <t>MARY</t>
  </si>
  <si>
    <t xml:space="preserve"> jones</t>
  </si>
  <si>
    <t>mkt</t>
  </si>
  <si>
    <t>2020-03-15</t>
  </si>
  <si>
    <t>45 Oak Avenue</t>
  </si>
  <si>
    <t>Bengaluru</t>
  </si>
  <si>
    <t>KA</t>
  </si>
  <si>
    <t>560001</t>
  </si>
  <si>
    <t>(987) 654-3211</t>
  </si>
  <si>
    <t xml:space="preserve">raj </t>
  </si>
  <si>
    <t>Kumar</t>
  </si>
  <si>
    <t>HR</t>
  </si>
  <si>
    <t>2018-07-22</t>
  </si>
  <si>
    <t>78 Pine Road</t>
  </si>
  <si>
    <t>600002</t>
  </si>
  <si>
    <t>987-654-3212</t>
  </si>
  <si>
    <t xml:space="preserve"> Priya</t>
  </si>
  <si>
    <t>SHARMA</t>
  </si>
  <si>
    <t>it</t>
  </si>
  <si>
    <t>2021-05-04</t>
  </si>
  <si>
    <t>23 Cedar Lane</t>
  </si>
  <si>
    <t>Hyderabad</t>
  </si>
  <si>
    <t>TS</t>
  </si>
  <si>
    <t>500001</t>
  </si>
  <si>
    <t>9876543213</t>
  </si>
  <si>
    <t>AMIT</t>
  </si>
  <si>
    <t xml:space="preserve">patel </t>
  </si>
  <si>
    <t xml:space="preserve"> FIN</t>
  </si>
  <si>
    <t>2017-11-30</t>
  </si>
  <si>
    <t>56 Maple Drive</t>
  </si>
  <si>
    <t>600003</t>
  </si>
  <si>
    <t>98765 43214</t>
  </si>
  <si>
    <t>sneha</t>
  </si>
  <si>
    <t>Reddy</t>
  </si>
  <si>
    <t>SAL</t>
  </si>
  <si>
    <t>2022-01-10</t>
  </si>
  <si>
    <t>89 Birch Blvd</t>
  </si>
  <si>
    <t>560002</t>
  </si>
  <si>
    <t>9876543215</t>
  </si>
  <si>
    <t xml:space="preserve">  Vikram</t>
  </si>
  <si>
    <t>Singh</t>
  </si>
  <si>
    <t xml:space="preserve">mkt </t>
  </si>
  <si>
    <t>2016-06-18</t>
  </si>
  <si>
    <t>34 Spruce Ct</t>
  </si>
  <si>
    <t>600004</t>
  </si>
  <si>
    <t>(987)654-3216</t>
  </si>
  <si>
    <t>Anita</t>
  </si>
  <si>
    <t xml:space="preserve"> Rao</t>
  </si>
  <si>
    <t xml:space="preserve"> HR </t>
  </si>
  <si>
    <t>2020-09-25</t>
  </si>
  <si>
    <t>67 Willow Way</t>
  </si>
  <si>
    <t>500002</t>
  </si>
  <si>
    <t>9876543217</t>
  </si>
  <si>
    <t>KIRAN</t>
  </si>
  <si>
    <t>Nair</t>
  </si>
  <si>
    <t>IT</t>
  </si>
  <si>
    <t>2019-12-05</t>
  </si>
  <si>
    <t>90 Aspen St</t>
  </si>
  <si>
    <t>600005</t>
  </si>
  <si>
    <t>987-654-3218</t>
  </si>
  <si>
    <t xml:space="preserve">deepa </t>
  </si>
  <si>
    <t>Iyer</t>
  </si>
  <si>
    <t>fin</t>
  </si>
  <si>
    <t>2021-08-14</t>
  </si>
  <si>
    <t>12 Poplar Ave</t>
  </si>
  <si>
    <t>560003</t>
  </si>
  <si>
    <t>9876543219</t>
  </si>
  <si>
    <t>Rahul</t>
  </si>
  <si>
    <t>Mehta</t>
  </si>
  <si>
    <t xml:space="preserve"> SAL</t>
  </si>
  <si>
    <t>2015-04-02</t>
  </si>
  <si>
    <t>45 Fir Road</t>
  </si>
  <si>
    <t>600006</t>
  </si>
  <si>
    <t>9876543220</t>
  </si>
  <si>
    <t>POOJA</t>
  </si>
  <si>
    <t xml:space="preserve">Verma </t>
  </si>
  <si>
    <t>MKT</t>
  </si>
  <si>
    <t>2023-02-20</t>
  </si>
  <si>
    <t>78 Cypress Ln</t>
  </si>
  <si>
    <t>500003</t>
  </si>
  <si>
    <t>(987) 654-3221</t>
  </si>
  <si>
    <t>arjun</t>
  </si>
  <si>
    <t>Gupta</t>
  </si>
  <si>
    <t>hr</t>
  </si>
  <si>
    <t>2018-10-11</t>
  </si>
  <si>
    <t>23 Redwood Dr</t>
  </si>
  <si>
    <t>600007</t>
  </si>
  <si>
    <t>987-654-3222</t>
  </si>
  <si>
    <t xml:space="preserve">Divya </t>
  </si>
  <si>
    <t>MENON</t>
  </si>
  <si>
    <t xml:space="preserve">it </t>
  </si>
  <si>
    <t>2022-05-30</t>
  </si>
  <si>
    <t>56 Sequoia St</t>
  </si>
  <si>
    <t>560004</t>
  </si>
  <si>
    <t>9876543223</t>
  </si>
  <si>
    <t>Sanjay</t>
  </si>
  <si>
    <t>Yadav</t>
  </si>
  <si>
    <t>FIN</t>
  </si>
  <si>
    <t>2019-07-08</t>
  </si>
  <si>
    <t>89 Magnolia Ave</t>
  </si>
  <si>
    <t>600008</t>
  </si>
  <si>
    <t>9876543224</t>
  </si>
  <si>
    <t>Yellow = messy input on purpose. Don't edit this sheet — build formulas in new sheets/columns.</t>
  </si>
  <si>
    <t>Department Name</t>
  </si>
  <si>
    <t>Manager</t>
  </si>
  <si>
    <t>Sales</t>
  </si>
  <si>
    <t>Karthik Subramaniam</t>
  </si>
  <si>
    <t>Marketing</t>
  </si>
  <si>
    <t>Neha Kapoor</t>
  </si>
  <si>
    <t>Human Resources</t>
  </si>
  <si>
    <t>Ramesh Iyer</t>
  </si>
  <si>
    <t>Information Technology</t>
  </si>
  <si>
    <t>Suresh Babu</t>
  </si>
  <si>
    <t>Finance</t>
  </si>
  <si>
    <t>Lakshmi Narayanan</t>
  </si>
  <si>
    <t>Min Years</t>
  </si>
  <si>
    <t>Band</t>
  </si>
  <si>
    <t>Junior (0-2 yrs)</t>
  </si>
  <si>
    <t>Mid-Level (2-5 yrs)</t>
  </si>
  <si>
    <t>Senior (5-10 yrs)</t>
  </si>
  <si>
    <t>Lead (10+ yrs)</t>
  </si>
  <si>
    <t>Employee ID</t>
  </si>
  <si>
    <t>Full Name (TEXTJOIN)</t>
  </si>
  <si>
    <t>Initials (LEFT)</t>
  </si>
  <si>
    <t>Dept Code (UPPER)</t>
  </si>
  <si>
    <t>Department (VLOOKUP)</t>
  </si>
  <si>
    <t>Manager (INDEX-MATCH)</t>
  </si>
  <si>
    <t>Hire Date (DATEVALUE)</t>
  </si>
  <si>
    <t>Hire Year</t>
  </si>
  <si>
    <t>Month Name (TEXT)</t>
  </si>
  <si>
    <t>Tenure (DATEDIF)</t>
  </si>
  <si>
    <t>Next Anniversary (EDATE)</t>
  </si>
  <si>
    <t>Working Days Since Hire (NETWORKDAYS)</t>
  </si>
  <si>
    <t>Full Address (TEXTJOIN)</t>
  </si>
  <si>
    <t>Phone Digits (SUBSTITUTE)</t>
  </si>
  <si>
    <t>Phone Formatted (MID/RIGHT)</t>
  </si>
  <si>
    <t>Email (LOWER)</t>
  </si>
  <si>
    <t>Tenure Band (VLOOKUP approx.)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</si>
</sst>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3" width="12" customWidth="1"/>
    <col min="4" max="4" width="11" customWidth="1"/>
    <col min="5" max="5" width="15" customWidth="1"/>
    <col min="6" max="6" width="18" customWidth="1"/>
    <col min="7" max="7" width="12" customWidth="1"/>
    <col min="8" max="8" width="8" customWidth="1"/>
    <col min="9" max="9" width="9" customWidth="1"/>
    <col min="10" max="10" width="16" customWidth="1"/>
  </cols>
  <sheetData>
    <row r="1" spans="1:10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2">
        <v>1002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>
      <c r="A4" s="2">
        <v>1003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15</v>
      </c>
      <c r="H4" s="2" t="s">
        <v>16</v>
      </c>
      <c r="I4" s="2" t="s">
        <v>33</v>
      </c>
      <c r="J4" s="2" t="s">
        <v>34</v>
      </c>
    </row>
    <row r="5" spans="1:10">
      <c r="A5" s="2">
        <v>1004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</row>
    <row r="6" spans="1:10">
      <c r="A6" s="2">
        <v>1005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15</v>
      </c>
      <c r="H6" s="2" t="s">
        <v>16</v>
      </c>
      <c r="I6" s="2" t="s">
        <v>49</v>
      </c>
      <c r="J6" s="2" t="s">
        <v>50</v>
      </c>
    </row>
    <row r="7" spans="1:10">
      <c r="A7" s="2">
        <v>1006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24</v>
      </c>
      <c r="H7" s="2" t="s">
        <v>25</v>
      </c>
      <c r="I7" s="2" t="s">
        <v>56</v>
      </c>
      <c r="J7" s="2" t="s">
        <v>57</v>
      </c>
    </row>
    <row r="8" spans="1:10">
      <c r="A8" s="2">
        <v>1007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15</v>
      </c>
      <c r="H8" s="2" t="s">
        <v>16</v>
      </c>
      <c r="I8" s="2" t="s">
        <v>63</v>
      </c>
      <c r="J8" s="2" t="s">
        <v>64</v>
      </c>
    </row>
    <row r="9" spans="1:10">
      <c r="A9" s="2">
        <v>1008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40</v>
      </c>
      <c r="H9" s="2" t="s">
        <v>41</v>
      </c>
      <c r="I9" s="2" t="s">
        <v>70</v>
      </c>
      <c r="J9" s="2" t="s">
        <v>71</v>
      </c>
    </row>
    <row r="10" spans="1:10">
      <c r="A10" s="2">
        <v>1009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15</v>
      </c>
      <c r="H10" s="2" t="s">
        <v>16</v>
      </c>
      <c r="I10" s="2" t="s">
        <v>77</v>
      </c>
      <c r="J10" s="2" t="s">
        <v>78</v>
      </c>
    </row>
    <row r="11" spans="1:10">
      <c r="A11" s="2">
        <v>1010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24</v>
      </c>
      <c r="H11" s="2" t="s">
        <v>25</v>
      </c>
      <c r="I11" s="2" t="s">
        <v>84</v>
      </c>
      <c r="J11" s="2" t="s">
        <v>85</v>
      </c>
    </row>
    <row r="12" spans="1:10">
      <c r="A12" s="2">
        <v>1011</v>
      </c>
      <c r="B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15</v>
      </c>
      <c r="H12" s="2" t="s">
        <v>16</v>
      </c>
      <c r="I12" s="2" t="s">
        <v>91</v>
      </c>
      <c r="J12" s="2" t="s">
        <v>92</v>
      </c>
    </row>
    <row r="13" spans="1:10">
      <c r="A13" s="2">
        <v>1012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40</v>
      </c>
      <c r="H13" s="2" t="s">
        <v>41</v>
      </c>
      <c r="I13" s="2" t="s">
        <v>98</v>
      </c>
      <c r="J13" s="2" t="s">
        <v>99</v>
      </c>
    </row>
    <row r="14" spans="1:10">
      <c r="A14" s="2">
        <v>1013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15</v>
      </c>
      <c r="H14" s="2" t="s">
        <v>16</v>
      </c>
      <c r="I14" s="2" t="s">
        <v>105</v>
      </c>
      <c r="J14" s="2" t="s">
        <v>106</v>
      </c>
    </row>
    <row r="15" spans="1:10">
      <c r="A15" s="2">
        <v>1014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24</v>
      </c>
      <c r="H15" s="2" t="s">
        <v>25</v>
      </c>
      <c r="I15" s="2" t="s">
        <v>112</v>
      </c>
      <c r="J15" s="2" t="s">
        <v>113</v>
      </c>
    </row>
    <row r="16" spans="1:10">
      <c r="A16" s="2">
        <v>1015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15</v>
      </c>
      <c r="H16" s="2" t="s">
        <v>16</v>
      </c>
      <c r="I16" s="2" t="s">
        <v>119</v>
      </c>
      <c r="J16" s="2" t="s">
        <v>120</v>
      </c>
    </row>
    <row r="18" spans="2:2">
      <c r="B18" s="3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4" customWidth="1"/>
    <col min="3" max="3" width="22" customWidth="1"/>
  </cols>
  <sheetData>
    <row r="1" spans="1:3">
      <c r="A1" s="1" t="s">
        <v>3</v>
      </c>
      <c r="B1" s="1" t="s">
        <v>122</v>
      </c>
      <c r="C1" s="1" t="s">
        <v>123</v>
      </c>
    </row>
    <row r="2" spans="1:3">
      <c r="A2" s="4" t="s">
        <v>53</v>
      </c>
      <c r="B2" s="4" t="s">
        <v>124</v>
      </c>
      <c r="C2" s="4" t="s">
        <v>125</v>
      </c>
    </row>
    <row r="3" spans="1:3">
      <c r="A3" s="4" t="s">
        <v>95</v>
      </c>
      <c r="B3" s="4" t="s">
        <v>126</v>
      </c>
      <c r="C3" s="4" t="s">
        <v>127</v>
      </c>
    </row>
    <row r="4" spans="1:3">
      <c r="A4" s="4" t="s">
        <v>30</v>
      </c>
      <c r="B4" s="4" t="s">
        <v>128</v>
      </c>
      <c r="C4" s="4" t="s">
        <v>129</v>
      </c>
    </row>
    <row r="5" spans="1:3">
      <c r="A5" s="4" t="s">
        <v>74</v>
      </c>
      <c r="B5" s="4" t="s">
        <v>130</v>
      </c>
      <c r="C5" s="4" t="s">
        <v>131</v>
      </c>
    </row>
    <row r="6" spans="1:3">
      <c r="A6" s="4" t="s">
        <v>116</v>
      </c>
      <c r="B6" s="4" t="s">
        <v>132</v>
      </c>
      <c r="C6" s="4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2" customWidth="1"/>
  </cols>
  <sheetData>
    <row r="1" spans="1:2">
      <c r="A1" s="1" t="s">
        <v>134</v>
      </c>
      <c r="B1" s="1" t="s">
        <v>135</v>
      </c>
    </row>
    <row r="2" spans="1:2">
      <c r="A2" s="4">
        <v>0</v>
      </c>
      <c r="B2" s="4" t="s">
        <v>136</v>
      </c>
    </row>
    <row r="3" spans="1:2">
      <c r="A3" s="4">
        <v>2</v>
      </c>
      <c r="B3" s="4" t="s">
        <v>137</v>
      </c>
    </row>
    <row r="4" spans="1:2">
      <c r="A4" s="4">
        <v>5</v>
      </c>
      <c r="B4" s="4" t="s">
        <v>138</v>
      </c>
    </row>
    <row r="5" spans="1:2">
      <c r="A5" s="4">
        <v>10</v>
      </c>
      <c r="B5" s="4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9"/>
  <sheetViews>
    <sheetView workbookViewId="0">
      <pane xSplit="1" ySplit="1" topLeftCell="B2" activePane="bottomRight" state="frozen"/>
      <selection pane="bottomRight" activeCell="L8" sqref="L8"/>
      <selection pane="bottomLeft"/>
      <selection pane="topRight"/>
    </sheetView>
  </sheetViews>
  <sheetFormatPr defaultRowHeight="15"/>
  <cols>
    <col min="1" max="1" width="10" customWidth="1"/>
    <col min="2" max="3" width="11" customWidth="1"/>
    <col min="4" max="4" width="20" customWidth="1"/>
    <col min="5" max="5" width="10" customWidth="1"/>
    <col min="6" max="6" width="12" customWidth="1"/>
    <col min="7" max="8" width="22" customWidth="1"/>
    <col min="9" max="9" width="14" customWidth="1"/>
    <col min="10" max="10" width="8" customWidth="1"/>
    <col min="11" max="11" width="12" customWidth="1"/>
    <col min="12" max="12" width="16" customWidth="1"/>
    <col min="13" max="13" width="16" hidden="1" customWidth="1"/>
    <col min="14" max="14" width="16" customWidth="1"/>
    <col min="15" max="15" width="36.42578125" customWidth="1"/>
    <col min="16" max="16" width="13" customWidth="1"/>
    <col min="17" max="17" width="15" customWidth="1"/>
    <col min="18" max="18" width="27.42578125" customWidth="1"/>
    <col min="19" max="19" width="22.85546875" customWidth="1"/>
  </cols>
  <sheetData>
    <row r="1" spans="1:19" ht="51.75" customHeight="1">
      <c r="A1" s="1" t="s">
        <v>140</v>
      </c>
      <c r="B1" s="1" t="s">
        <v>1</v>
      </c>
      <c r="C1" s="1" t="s">
        <v>2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</row>
    <row r="2" spans="1:19" ht="23.25" customHeight="1">
      <c r="A2" s="6" t="str">
        <f>TEXT('Raw Data'!A2,"0000")</f>
        <v>1001</v>
      </c>
      <c r="B2" s="6" t="str">
        <f>PROPER(TRIM(CLEAN('Raw Data'!B2)))</f>
        <v>John</v>
      </c>
      <c r="C2" s="6" t="str">
        <f>PROPER(TRIM(CLEAN('Raw Data'!C2)))</f>
        <v>Smith</v>
      </c>
      <c r="D2" s="6" t="str">
        <f>_xlfn.TEXTJOIN(" ",TRUE,B2,C2)</f>
        <v>John Smith</v>
      </c>
      <c r="E2" s="6" t="str">
        <f>LEFT(B2,1)&amp;LEFT(C2,1)</f>
        <v>JS</v>
      </c>
      <c r="F2" s="6" t="str">
        <f>UPPER(TRIM('Raw Data'!D2))</f>
        <v>SAL</v>
      </c>
      <c r="G2" s="6" t="str">
        <f>VLOOKUP(F2,Departments!$A$2:$C$6,2,FALSE)</f>
        <v>Sales</v>
      </c>
      <c r="H2" s="7" t="str">
        <f>INDEX(Departments!$A$2:$C$6,MATCH(F2,Departments!$A$2:$A$6,0),MATCH("Manager",Departments!$A$1:$C$1,0))</f>
        <v>Karthik Subramaniam</v>
      </c>
      <c r="I2" s="8">
        <f>DATEVALUE('Raw Data'!E2)</f>
        <v>43539</v>
      </c>
      <c r="J2" s="6">
        <f>YEAR(I2)</f>
        <v>2019</v>
      </c>
      <c r="K2" s="6" t="str">
        <f>TEXT(I2,"MMMM")</f>
        <v>March</v>
      </c>
      <c r="L2" s="7" t="str">
        <f ca="1">DATEDIF(I2,TODAY(),"y")&amp;"yrs"&amp;DATEDIF(I2,TODAY(),"YM")&amp;"Months"</f>
        <v>7yrs3Months</v>
      </c>
      <c r="M2" s="6"/>
      <c r="N2" s="8">
        <f ca="1">NETWORKDAYS(I2,TODAY())</f>
        <v>1913</v>
      </c>
      <c r="O2" s="8" t="str">
        <f>_xlfn.TEXTJOIN(",",TRUE,'Raw Data'!F2,'Raw Data'!G2,'Raw Data'!H2,'Raw Data'!I2)</f>
        <v>12 Elm Street,Chennai,TN,600001</v>
      </c>
      <c r="P2" s="6" t="str">
        <f>SUBSTITUTE(SUBSTITUTE(SUBSTITUTE(SUBSTITUTE('Raw Data'!J2,"(",""),")",""),"-",""),  " ", "")</f>
        <v>9876543210</v>
      </c>
      <c r="Q2" s="6" t="str">
        <f>"("&amp;LEFT(P2,3)&amp;") "&amp;MID(P2,4,3)&amp;"-"&amp;RIGHT(P2,4)</f>
        <v>(987) 654-3210</v>
      </c>
      <c r="R2" s="7" t="str">
        <f>LOWER(B2&amp;"."&amp;C2&amp;"@company.com")</f>
        <v>john.smith@company.com</v>
      </c>
      <c r="S2" s="6" t="str">
        <f ca="1">VLOOKUP(DATEDIF('Clean Table'!I2,TODAY(),"y"),'Tenure Bands'!$A$2:$B$5,2,TRUE)</f>
        <v>Senior (5-10 yrs)</v>
      </c>
    </row>
    <row r="3" spans="1:19">
      <c r="A3" s="6" t="str">
        <f>TEXT('Raw Data'!A3,"0000")</f>
        <v>1002</v>
      </c>
      <c r="B3" s="6" t="str">
        <f>PROPER(TRIM(CLEAN('Raw Data'!B3)))</f>
        <v>Mary</v>
      </c>
      <c r="C3" s="6" t="str">
        <f>PROPER(TRIM(CLEAN('Raw Data'!C3)))</f>
        <v>Jones</v>
      </c>
      <c r="D3" s="6" t="str">
        <f t="shared" ref="D3:D16" si="0">_xlfn.TEXTJOIN(" ",TRUE,B3,C3)</f>
        <v>Mary Jones</v>
      </c>
      <c r="E3" s="6" t="str">
        <f t="shared" ref="E3:E16" si="1">LEFT(B3,1)&amp;LEFT(C3,1)</f>
        <v>MJ</v>
      </c>
      <c r="F3" s="6" t="str">
        <f>UPPER(TRIM('Raw Data'!D3))</f>
        <v>MKT</v>
      </c>
      <c r="G3" s="6" t="str">
        <f>VLOOKUP(F3,Departments!$A$2:$C$6,2,FALSE)</f>
        <v>Marketing</v>
      </c>
      <c r="H3" s="7" t="str">
        <f>INDEX(Departments!$A$2:$C$6,MATCH(F3,Departments!$A$2:$A$6,0),MATCH("Manager",Departments!$A$1:$C$1,0))</f>
        <v>Neha Kapoor</v>
      </c>
      <c r="I3" s="8">
        <f>DATEVALUE('Raw Data'!E3)</f>
        <v>43905</v>
      </c>
      <c r="J3" s="6">
        <f t="shared" ref="J3:J16" si="2">YEAR(I3)</f>
        <v>2020</v>
      </c>
      <c r="K3" s="6" t="str">
        <f t="shared" ref="K3:K16" si="3">TEXT(I3,"MMMM")</f>
        <v>March</v>
      </c>
      <c r="L3" s="7" t="str">
        <f t="shared" ref="L3:L16" ca="1" si="4">DATEDIF(I3,TODAY(),"y")&amp;"yrs"&amp;DATEDIF(I3,TODAY(),"YM")&amp;"Months"</f>
        <v>6yrs3Months</v>
      </c>
      <c r="M3" s="6"/>
      <c r="N3" s="8">
        <f t="shared" ref="N3:N16" ca="1" si="5">NETWORKDAYS(I3,TODAY())</f>
        <v>1652</v>
      </c>
      <c r="O3" s="8" t="str">
        <f>_xlfn.TEXTJOIN(",",TRUE,'Raw Data'!F3,'Raw Data'!G3,'Raw Data'!H3,'Raw Data'!I3)</f>
        <v>45 Oak Avenue,Bengaluru,KA,560001</v>
      </c>
      <c r="P3" s="6" t="str">
        <f>SUBSTITUTE(SUBSTITUTE(SUBSTITUTE(SUBSTITUTE('Raw Data'!J3,"(",""),")",""),"-",""),  " ", "")</f>
        <v>9876543211</v>
      </c>
      <c r="Q3" s="6" t="str">
        <f t="shared" ref="Q3:Q16" si="6">"("&amp;LEFT(P3,3)&amp;") "&amp;MID(P3,4,3)&amp;"-"&amp;RIGHT(P3,4)</f>
        <v>(987) 654-3211</v>
      </c>
      <c r="R3" s="7" t="str">
        <f t="shared" ref="R3:R18" si="7">LOWER(B3&amp;"."&amp;C3&amp;"@company.com")</f>
        <v>mary.jones@company.com</v>
      </c>
      <c r="S3" s="6" t="str">
        <f ca="1">VLOOKUP(DATEDIF('Clean Table'!I3,TODAY(),"y"),'Tenure Bands'!$A$2:$B$5,2,TRUE)</f>
        <v>Senior (5-10 yrs)</v>
      </c>
    </row>
    <row r="4" spans="1:19">
      <c r="A4" s="6" t="str">
        <f>TEXT('Raw Data'!A4,"0000")</f>
        <v>1003</v>
      </c>
      <c r="B4" s="6" t="str">
        <f>PROPER(TRIM(CLEAN('Raw Data'!B4)))</f>
        <v>Raj</v>
      </c>
      <c r="C4" s="6" t="str">
        <f>PROPER(TRIM(CLEAN('Raw Data'!C4)))</f>
        <v>Kumar</v>
      </c>
      <c r="D4" s="6" t="str">
        <f t="shared" si="0"/>
        <v>Raj Kumar</v>
      </c>
      <c r="E4" s="6" t="str">
        <f t="shared" si="1"/>
        <v>RK</v>
      </c>
      <c r="F4" s="6" t="str">
        <f>UPPER(TRIM('Raw Data'!D4))</f>
        <v>HR</v>
      </c>
      <c r="G4" s="6" t="str">
        <f>VLOOKUP(F4,Departments!$A$2:$C$6,2,FALSE)</f>
        <v>Human Resources</v>
      </c>
      <c r="H4" s="7" t="str">
        <f>INDEX(Departments!$A$2:$C$6,MATCH(F4,Departments!$A$2:$A$6,0),MATCH("Manager",Departments!$A$1:$C$1,0))</f>
        <v>Ramesh Iyer</v>
      </c>
      <c r="I4" s="8">
        <f>DATEVALUE('Raw Data'!E4)</f>
        <v>43303</v>
      </c>
      <c r="J4" s="6">
        <f t="shared" si="2"/>
        <v>2018</v>
      </c>
      <c r="K4" s="6" t="str">
        <f t="shared" si="3"/>
        <v>July</v>
      </c>
      <c r="L4" s="7" t="str">
        <f t="shared" ca="1" si="4"/>
        <v>7yrs11Months</v>
      </c>
      <c r="M4" s="6"/>
      <c r="N4" s="8">
        <f t="shared" ca="1" si="5"/>
        <v>2082</v>
      </c>
      <c r="O4" s="8" t="str">
        <f>_xlfn.TEXTJOIN(",",TRUE,'Raw Data'!F4,'Raw Data'!G4,'Raw Data'!H4,'Raw Data'!I4)</f>
        <v>78 Pine Road,Chennai,TN,600002</v>
      </c>
      <c r="P4" s="6" t="str">
        <f>SUBSTITUTE(SUBSTITUTE(SUBSTITUTE(SUBSTITUTE('Raw Data'!J4,"(",""),")",""),"-",""),  " ", "")</f>
        <v>9876543212</v>
      </c>
      <c r="Q4" s="6" t="str">
        <f t="shared" si="6"/>
        <v>(987) 654-3212</v>
      </c>
      <c r="R4" s="7" t="str">
        <f t="shared" si="7"/>
        <v>raj.kumar@company.com</v>
      </c>
      <c r="S4" s="6" t="str">
        <f ca="1">VLOOKUP(DATEDIF('Clean Table'!I4,TODAY(),"y"),'Tenure Bands'!$A$2:$B$5,2,TRUE)</f>
        <v>Senior (5-10 yrs)</v>
      </c>
    </row>
    <row r="5" spans="1:19">
      <c r="A5" s="6" t="str">
        <f>TEXT('Raw Data'!A5,"0000")</f>
        <v>1004</v>
      </c>
      <c r="B5" s="6" t="str">
        <f>PROPER(TRIM(CLEAN('Raw Data'!B5)))</f>
        <v>Priya</v>
      </c>
      <c r="C5" s="6" t="str">
        <f>PROPER(TRIM(CLEAN('Raw Data'!C5)))</f>
        <v>Sharma</v>
      </c>
      <c r="D5" s="6" t="str">
        <f t="shared" si="0"/>
        <v>Priya Sharma</v>
      </c>
      <c r="E5" s="6" t="str">
        <f t="shared" si="1"/>
        <v>PS</v>
      </c>
      <c r="F5" s="6" t="str">
        <f>UPPER(TRIM('Raw Data'!D5))</f>
        <v>IT</v>
      </c>
      <c r="G5" s="6" t="str">
        <f>VLOOKUP(F5,Departments!$A$2:$C$6,2,FALSE)</f>
        <v>Information Technology</v>
      </c>
      <c r="H5" s="7" t="str">
        <f>INDEX(Departments!$A$2:$C$6,MATCH(F5,Departments!$A$2:$A$6,0),MATCH("Manager",Departments!$A$1:$C$1,0))</f>
        <v>Suresh Babu</v>
      </c>
      <c r="I5" s="8">
        <f>DATEVALUE('Raw Data'!E5)</f>
        <v>44320</v>
      </c>
      <c r="J5" s="6">
        <f t="shared" si="2"/>
        <v>2021</v>
      </c>
      <c r="K5" s="6" t="str">
        <f t="shared" si="3"/>
        <v>May</v>
      </c>
      <c r="L5" s="7" t="str">
        <f t="shared" ca="1" si="4"/>
        <v>5yrs2Months</v>
      </c>
      <c r="M5" s="6"/>
      <c r="N5" s="8">
        <f t="shared" ca="1" si="5"/>
        <v>1356</v>
      </c>
      <c r="O5" s="8" t="str">
        <f>_xlfn.TEXTJOIN(",",TRUE,'Raw Data'!F5,'Raw Data'!G5,'Raw Data'!H5,'Raw Data'!I5)</f>
        <v>23 Cedar Lane,Hyderabad,TS,500001</v>
      </c>
      <c r="P5" s="6" t="str">
        <f>SUBSTITUTE(SUBSTITUTE(SUBSTITUTE(SUBSTITUTE('Raw Data'!J5,"(",""),")",""),"-",""),  " ", "")</f>
        <v>9876543213</v>
      </c>
      <c r="Q5" s="6" t="str">
        <f t="shared" si="6"/>
        <v>(987) 654-3213</v>
      </c>
      <c r="R5" s="7" t="str">
        <f t="shared" si="7"/>
        <v>priya.sharma@company.com</v>
      </c>
      <c r="S5" s="6" t="str">
        <f ca="1">VLOOKUP(DATEDIF('Clean Table'!I5,TODAY(),"y"),'Tenure Bands'!$A$2:$B$5,2,TRUE)</f>
        <v>Senior (5-10 yrs)</v>
      </c>
    </row>
    <row r="6" spans="1:19">
      <c r="A6" s="6" t="str">
        <f>TEXT('Raw Data'!A6,"0000")</f>
        <v>1005</v>
      </c>
      <c r="B6" s="6" t="str">
        <f>PROPER(TRIM(CLEAN('Raw Data'!B6)))</f>
        <v>Amit</v>
      </c>
      <c r="C6" s="6" t="str">
        <f>PROPER(TRIM(CLEAN('Raw Data'!C6)))</f>
        <v>Patel</v>
      </c>
      <c r="D6" s="6" t="str">
        <f t="shared" si="0"/>
        <v>Amit Patel</v>
      </c>
      <c r="E6" s="6" t="str">
        <f t="shared" si="1"/>
        <v>AP</v>
      </c>
      <c r="F6" s="6" t="str">
        <f>UPPER(TRIM('Raw Data'!D6))</f>
        <v>FIN</v>
      </c>
      <c r="G6" s="6" t="str">
        <f>VLOOKUP(F6,Departments!$A$2:$C$6,2,FALSE)</f>
        <v>Finance</v>
      </c>
      <c r="H6" s="7" t="str">
        <f>INDEX(Departments!$A$2:$C$6,MATCH(F6,Departments!$A$2:$A$6,0),MATCH("Manager",Departments!$A$1:$C$1,0))</f>
        <v>Lakshmi Narayanan</v>
      </c>
      <c r="I6" s="8">
        <f>DATEVALUE('Raw Data'!E6)</f>
        <v>43069</v>
      </c>
      <c r="J6" s="6">
        <f t="shared" si="2"/>
        <v>2017</v>
      </c>
      <c r="K6" s="6" t="str">
        <f t="shared" si="3"/>
        <v>November</v>
      </c>
      <c r="L6" s="7" t="str">
        <f t="shared" ca="1" si="4"/>
        <v>8yrs7Months</v>
      </c>
      <c r="M6" s="6"/>
      <c r="N6" s="8">
        <f t="shared" ca="1" si="5"/>
        <v>2249</v>
      </c>
      <c r="O6" s="8" t="str">
        <f>_xlfn.TEXTJOIN(",",TRUE,'Raw Data'!F6,'Raw Data'!G6,'Raw Data'!H6,'Raw Data'!I6)</f>
        <v>56 Maple Drive,Chennai,TN,600003</v>
      </c>
      <c r="P6" s="6" t="str">
        <f>SUBSTITUTE(SUBSTITUTE(SUBSTITUTE(SUBSTITUTE('Raw Data'!J6,"(",""),")",""),"-",""),  " ", "")</f>
        <v>9876543214</v>
      </c>
      <c r="Q6" s="6" t="str">
        <f t="shared" si="6"/>
        <v>(987) 654-3214</v>
      </c>
      <c r="R6" s="7" t="str">
        <f t="shared" si="7"/>
        <v>amit.patel@company.com</v>
      </c>
      <c r="S6" s="6" t="str">
        <f ca="1">VLOOKUP(DATEDIF('Clean Table'!I6,TODAY(),"y"),'Tenure Bands'!$A$2:$B$5,2,TRUE)</f>
        <v>Senior (5-10 yrs)</v>
      </c>
    </row>
    <row r="7" spans="1:19">
      <c r="A7" s="6" t="str">
        <f>TEXT('Raw Data'!A7,"0000")</f>
        <v>1006</v>
      </c>
      <c r="B7" s="6" t="str">
        <f>PROPER(TRIM(CLEAN('Raw Data'!B7)))</f>
        <v>Sneha</v>
      </c>
      <c r="C7" s="6" t="str">
        <f>PROPER(TRIM(CLEAN('Raw Data'!C7)))</f>
        <v>Reddy</v>
      </c>
      <c r="D7" s="6" t="str">
        <f t="shared" si="0"/>
        <v>Sneha Reddy</v>
      </c>
      <c r="E7" s="6" t="str">
        <f t="shared" si="1"/>
        <v>SR</v>
      </c>
      <c r="F7" s="6" t="str">
        <f>UPPER(TRIM('Raw Data'!D7))</f>
        <v>SAL</v>
      </c>
      <c r="G7" s="6" t="str">
        <f>VLOOKUP(F7,Departments!$A$2:$C$6,2,FALSE)</f>
        <v>Sales</v>
      </c>
      <c r="H7" s="7" t="str">
        <f>INDEX(Departments!$A$2:$C$6,MATCH(F7,Departments!$A$2:$A$6,0),MATCH("Manager",Departments!$A$1:$C$1,0))</f>
        <v>Karthik Subramaniam</v>
      </c>
      <c r="I7" s="8">
        <f>DATEVALUE('Raw Data'!E7)</f>
        <v>44571</v>
      </c>
      <c r="J7" s="6">
        <f t="shared" si="2"/>
        <v>2022</v>
      </c>
      <c r="K7" s="6" t="str">
        <f t="shared" si="3"/>
        <v>January</v>
      </c>
      <c r="L7" s="7" t="str">
        <f t="shared" ca="1" si="4"/>
        <v>4yrs6Months</v>
      </c>
      <c r="M7" s="6"/>
      <c r="N7" s="8">
        <f t="shared" ca="1" si="5"/>
        <v>1177</v>
      </c>
      <c r="O7" s="8" t="str">
        <f>_xlfn.TEXTJOIN(",",TRUE,'Raw Data'!F7,'Raw Data'!G7,'Raw Data'!H7,'Raw Data'!I7)</f>
        <v>89 Birch Blvd,Bengaluru,KA,560002</v>
      </c>
      <c r="P7" s="6" t="str">
        <f>SUBSTITUTE(SUBSTITUTE(SUBSTITUTE(SUBSTITUTE('Raw Data'!J7,"(",""),")",""),"-",""),  " ", "")</f>
        <v>9876543215</v>
      </c>
      <c r="Q7" s="6" t="str">
        <f t="shared" si="6"/>
        <v>(987) 654-3215</v>
      </c>
      <c r="R7" s="7" t="str">
        <f t="shared" si="7"/>
        <v>sneha.reddy@company.com</v>
      </c>
      <c r="S7" s="6" t="str">
        <f ca="1">VLOOKUP(DATEDIF('Clean Table'!I7,TODAY(),"y"),'Tenure Bands'!$A$2:$B$5,2,TRUE)</f>
        <v>Mid-Level (2-5 yrs)</v>
      </c>
    </row>
    <row r="8" spans="1:19">
      <c r="A8" s="6" t="str">
        <f>TEXT('Raw Data'!A8,"0000")</f>
        <v>1007</v>
      </c>
      <c r="B8" s="6" t="str">
        <f>PROPER(TRIM(CLEAN('Raw Data'!B8)))</f>
        <v>Vikram</v>
      </c>
      <c r="C8" s="6" t="str">
        <f>PROPER(TRIM(CLEAN('Raw Data'!C8)))</f>
        <v>Singh</v>
      </c>
      <c r="D8" s="6" t="str">
        <f t="shared" si="0"/>
        <v>Vikram Singh</v>
      </c>
      <c r="E8" s="6" t="str">
        <f t="shared" si="1"/>
        <v>VS</v>
      </c>
      <c r="F8" s="6" t="str">
        <f>UPPER(TRIM('Raw Data'!D8))</f>
        <v>MKT</v>
      </c>
      <c r="G8" s="6" t="str">
        <f>VLOOKUP(F8,Departments!$A$2:$C$6,2,FALSE)</f>
        <v>Marketing</v>
      </c>
      <c r="H8" s="7" t="str">
        <f>INDEX(Departments!$A$2:$C$6,MATCH(F8,Departments!$A$2:$A$6,0),MATCH("Manager",Departments!$A$1:$C$1,0))</f>
        <v>Neha Kapoor</v>
      </c>
      <c r="I8" s="8">
        <f>DATEVALUE('Raw Data'!E8)</f>
        <v>42539</v>
      </c>
      <c r="J8" s="6">
        <f t="shared" si="2"/>
        <v>2016</v>
      </c>
      <c r="K8" s="6" t="str">
        <f t="shared" si="3"/>
        <v>June</v>
      </c>
      <c r="L8" s="7" t="str">
        <f t="shared" ca="1" si="4"/>
        <v>10yrs0Months</v>
      </c>
      <c r="M8" s="6"/>
      <c r="N8" s="8">
        <f t="shared" ca="1" si="5"/>
        <v>2627</v>
      </c>
      <c r="O8" s="8" t="str">
        <f>_xlfn.TEXTJOIN(",",TRUE,'Raw Data'!F8,'Raw Data'!G8,'Raw Data'!H8,'Raw Data'!I8)</f>
        <v>34 Spruce Ct,Chennai,TN,600004</v>
      </c>
      <c r="P8" s="6" t="str">
        <f>SUBSTITUTE(SUBSTITUTE(SUBSTITUTE(SUBSTITUTE('Raw Data'!J8,"(",""),")",""),"-",""),  " ", "")</f>
        <v>9876543216</v>
      </c>
      <c r="Q8" s="6" t="str">
        <f t="shared" si="6"/>
        <v>(987) 654-3216</v>
      </c>
      <c r="R8" s="7" t="str">
        <f t="shared" si="7"/>
        <v>vikram.singh@company.com</v>
      </c>
      <c r="S8" s="6" t="str">
        <f ca="1">VLOOKUP(DATEDIF('Clean Table'!I8,TODAY(),"y"),'Tenure Bands'!$A$2:$B$5,2,TRUE)</f>
        <v>Lead (10+ yrs)</v>
      </c>
    </row>
    <row r="9" spans="1:19">
      <c r="A9" s="6" t="str">
        <f>TEXT('Raw Data'!A9,"0000")</f>
        <v>1008</v>
      </c>
      <c r="B9" s="6" t="str">
        <f>PROPER(TRIM(CLEAN('Raw Data'!B9)))</f>
        <v>Anita</v>
      </c>
      <c r="C9" s="6" t="str">
        <f>PROPER(TRIM(CLEAN('Raw Data'!C9)))</f>
        <v>Rao</v>
      </c>
      <c r="D9" s="6" t="str">
        <f t="shared" si="0"/>
        <v>Anita Rao</v>
      </c>
      <c r="E9" s="6" t="str">
        <f t="shared" si="1"/>
        <v>AR</v>
      </c>
      <c r="F9" s="6" t="str">
        <f>UPPER(TRIM('Raw Data'!D9))</f>
        <v>HR</v>
      </c>
      <c r="G9" s="6" t="str">
        <f>VLOOKUP(F9,Departments!$A$2:$C$6,2,FALSE)</f>
        <v>Human Resources</v>
      </c>
      <c r="H9" s="7" t="str">
        <f>INDEX(Departments!$A$2:$C$6,MATCH(F9,Departments!$A$2:$A$6,0),MATCH("Manager",Departments!$A$1:$C$1,0))</f>
        <v>Ramesh Iyer</v>
      </c>
      <c r="I9" s="8">
        <f>DATEVALUE('Raw Data'!E9)</f>
        <v>44099</v>
      </c>
      <c r="J9" s="6">
        <f t="shared" si="2"/>
        <v>2020</v>
      </c>
      <c r="K9" s="6" t="str">
        <f t="shared" si="3"/>
        <v>September</v>
      </c>
      <c r="L9" s="7" t="str">
        <f t="shared" ca="1" si="4"/>
        <v>5yrs9Months</v>
      </c>
      <c r="M9" s="6"/>
      <c r="N9" s="8">
        <f t="shared" ca="1" si="5"/>
        <v>1513</v>
      </c>
      <c r="O9" s="8" t="str">
        <f>_xlfn.TEXTJOIN(",",TRUE,'Raw Data'!F9,'Raw Data'!G9,'Raw Data'!H9,'Raw Data'!I9)</f>
        <v>67 Willow Way,Hyderabad,TS,500002</v>
      </c>
      <c r="P9" s="6" t="str">
        <f>SUBSTITUTE(SUBSTITUTE(SUBSTITUTE(SUBSTITUTE('Raw Data'!J9,"(",""),")",""),"-",""),  " ", "")</f>
        <v>9876543217</v>
      </c>
      <c r="Q9" s="6" t="str">
        <f t="shared" si="6"/>
        <v>(987) 654-3217</v>
      </c>
      <c r="R9" s="7" t="str">
        <f t="shared" si="7"/>
        <v>anita.rao@company.com</v>
      </c>
      <c r="S9" s="6" t="str">
        <f ca="1">VLOOKUP(DATEDIF('Clean Table'!I9,TODAY(),"y"),'Tenure Bands'!$A$2:$B$5,2,TRUE)</f>
        <v>Senior (5-10 yrs)</v>
      </c>
    </row>
    <row r="10" spans="1:19">
      <c r="A10" s="6" t="str">
        <f>TEXT('Raw Data'!A10,"0000")</f>
        <v>1009</v>
      </c>
      <c r="B10" s="6" t="str">
        <f>PROPER(TRIM(CLEAN('Raw Data'!B10)))</f>
        <v>Kiran</v>
      </c>
      <c r="C10" s="6" t="str">
        <f>PROPER(TRIM(CLEAN('Raw Data'!C10)))</f>
        <v>Nair</v>
      </c>
      <c r="D10" s="6" t="str">
        <f t="shared" si="0"/>
        <v>Kiran Nair</v>
      </c>
      <c r="E10" s="6" t="str">
        <f t="shared" si="1"/>
        <v>KN</v>
      </c>
      <c r="F10" s="6" t="str">
        <f>UPPER(TRIM('Raw Data'!D10))</f>
        <v>IT</v>
      </c>
      <c r="G10" s="6" t="str">
        <f>VLOOKUP(F10,Departments!$A$2:$C$6,2,FALSE)</f>
        <v>Information Technology</v>
      </c>
      <c r="H10" s="7" t="str">
        <f>INDEX(Departments!$A$2:$C$6,MATCH(F10,Departments!$A$2:$A$6,0),MATCH("Manager",Departments!$A$1:$C$1,0))</f>
        <v>Suresh Babu</v>
      </c>
      <c r="I10" s="8">
        <f>DATEVALUE('Raw Data'!E10)</f>
        <v>43804</v>
      </c>
      <c r="J10" s="6">
        <f t="shared" si="2"/>
        <v>2019</v>
      </c>
      <c r="K10" s="6" t="str">
        <f t="shared" si="3"/>
        <v>December</v>
      </c>
      <c r="L10" s="7" t="str">
        <f t="shared" ca="1" si="4"/>
        <v>6yrs7Months</v>
      </c>
      <c r="M10" s="6"/>
      <c r="N10" s="8">
        <f t="shared" ca="1" si="5"/>
        <v>1724</v>
      </c>
      <c r="O10" s="8" t="str">
        <f>_xlfn.TEXTJOIN(",",TRUE,'Raw Data'!F10,'Raw Data'!G10,'Raw Data'!H10,'Raw Data'!I10)</f>
        <v>90 Aspen St,Chennai,TN,600005</v>
      </c>
      <c r="P10" s="6" t="str">
        <f>SUBSTITUTE(SUBSTITUTE(SUBSTITUTE(SUBSTITUTE('Raw Data'!J10,"(",""),")",""),"-",""),  " ", "")</f>
        <v>9876543218</v>
      </c>
      <c r="Q10" s="6" t="str">
        <f t="shared" si="6"/>
        <v>(987) 654-3218</v>
      </c>
      <c r="R10" s="7" t="str">
        <f t="shared" si="7"/>
        <v>kiran.nair@company.com</v>
      </c>
      <c r="S10" s="6" t="str">
        <f ca="1">VLOOKUP(DATEDIF('Clean Table'!I10,TODAY(),"y"),'Tenure Bands'!$A$2:$B$5,2,TRUE)</f>
        <v>Senior (5-10 yrs)</v>
      </c>
    </row>
    <row r="11" spans="1:19">
      <c r="A11" s="6" t="str">
        <f>TEXT('Raw Data'!A11,"0000")</f>
        <v>1010</v>
      </c>
      <c r="B11" s="6" t="str">
        <f>PROPER(TRIM(CLEAN('Raw Data'!B11)))</f>
        <v>Deepa</v>
      </c>
      <c r="C11" s="6" t="str">
        <f>PROPER(TRIM(CLEAN('Raw Data'!C11)))</f>
        <v>Iyer</v>
      </c>
      <c r="D11" s="6" t="str">
        <f t="shared" si="0"/>
        <v>Deepa Iyer</v>
      </c>
      <c r="E11" s="6" t="str">
        <f t="shared" si="1"/>
        <v>DI</v>
      </c>
      <c r="F11" s="6" t="str">
        <f>UPPER(TRIM('Raw Data'!D11))</f>
        <v>FIN</v>
      </c>
      <c r="G11" s="6" t="str">
        <f>VLOOKUP(F11,Departments!$A$2:$C$6,2,FALSE)</f>
        <v>Finance</v>
      </c>
      <c r="H11" s="7" t="str">
        <f>INDEX(Departments!$A$2:$C$6,MATCH(F11,Departments!$A$2:$A$6,0),MATCH("Manager",Departments!$A$1:$C$1,0))</f>
        <v>Lakshmi Narayanan</v>
      </c>
      <c r="I11" s="8">
        <f>DATEVALUE('Raw Data'!E11)</f>
        <v>44422</v>
      </c>
      <c r="J11" s="6">
        <f t="shared" si="2"/>
        <v>2021</v>
      </c>
      <c r="K11" s="6" t="str">
        <f t="shared" si="3"/>
        <v>August</v>
      </c>
      <c r="L11" s="7" t="str">
        <f t="shared" ca="1" si="4"/>
        <v>4yrs11Months</v>
      </c>
      <c r="M11" s="6"/>
      <c r="N11" s="8">
        <f t="shared" ca="1" si="5"/>
        <v>1282</v>
      </c>
      <c r="O11" s="8" t="str">
        <f>_xlfn.TEXTJOIN(",",TRUE,'Raw Data'!F11,'Raw Data'!G11,'Raw Data'!H11,'Raw Data'!I11)</f>
        <v>12 Poplar Ave,Bengaluru,KA,560003</v>
      </c>
      <c r="P11" s="6" t="str">
        <f>SUBSTITUTE(SUBSTITUTE(SUBSTITUTE(SUBSTITUTE('Raw Data'!J11,"(",""),")",""),"-",""),  " ", "")</f>
        <v>9876543219</v>
      </c>
      <c r="Q11" s="6" t="str">
        <f t="shared" si="6"/>
        <v>(987) 654-3219</v>
      </c>
      <c r="R11" s="7" t="str">
        <f t="shared" si="7"/>
        <v>deepa.iyer@company.com</v>
      </c>
      <c r="S11" s="6" t="str">
        <f ca="1">VLOOKUP(DATEDIF('Clean Table'!I11,TODAY(),"y"),'Tenure Bands'!$A$2:$B$5,2,TRUE)</f>
        <v>Mid-Level (2-5 yrs)</v>
      </c>
    </row>
    <row r="12" spans="1:19">
      <c r="A12" s="6" t="str">
        <f>TEXT('Raw Data'!A12,"0000")</f>
        <v>1011</v>
      </c>
      <c r="B12" s="6" t="str">
        <f>PROPER(TRIM(CLEAN('Raw Data'!B12)))</f>
        <v>Rahul</v>
      </c>
      <c r="C12" s="6" t="str">
        <f>PROPER(TRIM(CLEAN('Raw Data'!C12)))</f>
        <v>Mehta</v>
      </c>
      <c r="D12" s="6" t="str">
        <f t="shared" si="0"/>
        <v>Rahul Mehta</v>
      </c>
      <c r="E12" s="6" t="str">
        <f t="shared" si="1"/>
        <v>RM</v>
      </c>
      <c r="F12" s="6" t="str">
        <f>UPPER(TRIM('Raw Data'!D12))</f>
        <v>SAL</v>
      </c>
      <c r="G12" s="6" t="str">
        <f>VLOOKUP(F12,Departments!$A$2:$C$6,2,FALSE)</f>
        <v>Sales</v>
      </c>
      <c r="H12" s="7" t="str">
        <f>INDEX(Departments!$A$2:$C$6,MATCH(F12,Departments!$A$2:$A$6,0),MATCH("Manager",Departments!$A$1:$C$1,0))</f>
        <v>Karthik Subramaniam</v>
      </c>
      <c r="I12" s="8">
        <f>DATEVALUE('Raw Data'!E12)</f>
        <v>42096</v>
      </c>
      <c r="J12" s="6">
        <f t="shared" si="2"/>
        <v>2015</v>
      </c>
      <c r="K12" s="6" t="str">
        <f t="shared" si="3"/>
        <v>April</v>
      </c>
      <c r="L12" s="7" t="str">
        <f t="shared" ca="1" si="4"/>
        <v>11yrs3Months</v>
      </c>
      <c r="M12" s="6"/>
      <c r="N12" s="8">
        <f t="shared" ca="1" si="5"/>
        <v>2944</v>
      </c>
      <c r="O12" s="8" t="str">
        <f>_xlfn.TEXTJOIN(",",TRUE,'Raw Data'!F12,'Raw Data'!G12,'Raw Data'!H12,'Raw Data'!I12)</f>
        <v>45 Fir Road,Chennai,TN,600006</v>
      </c>
      <c r="P12" s="6" t="str">
        <f>SUBSTITUTE(SUBSTITUTE(SUBSTITUTE(SUBSTITUTE('Raw Data'!J12,"(",""),")",""),"-",""),  " ", "")</f>
        <v>9876543220</v>
      </c>
      <c r="Q12" s="6" t="str">
        <f t="shared" si="6"/>
        <v>(987) 654-3220</v>
      </c>
      <c r="R12" s="7" t="str">
        <f t="shared" si="7"/>
        <v>rahul.mehta@company.com</v>
      </c>
      <c r="S12" s="6" t="str">
        <f ca="1">VLOOKUP(DATEDIF('Clean Table'!I12,TODAY(),"y"),'Tenure Bands'!$A$2:$B$5,2,TRUE)</f>
        <v>Lead (10+ yrs)</v>
      </c>
    </row>
    <row r="13" spans="1:19">
      <c r="A13" s="6" t="str">
        <f>TEXT('Raw Data'!A13,"0000")</f>
        <v>1012</v>
      </c>
      <c r="B13" s="6" t="str">
        <f>PROPER(TRIM(CLEAN('Raw Data'!B13)))</f>
        <v>Pooja</v>
      </c>
      <c r="C13" s="6" t="str">
        <f>PROPER(TRIM(CLEAN('Raw Data'!C13)))</f>
        <v>Verma</v>
      </c>
      <c r="D13" s="6" t="str">
        <f t="shared" si="0"/>
        <v>Pooja Verma</v>
      </c>
      <c r="E13" s="6" t="str">
        <f t="shared" si="1"/>
        <v>PV</v>
      </c>
      <c r="F13" s="6" t="str">
        <f>UPPER(TRIM('Raw Data'!D13))</f>
        <v>MKT</v>
      </c>
      <c r="G13" s="6" t="str">
        <f>VLOOKUP(F13,Departments!$A$2:$C$6,2,FALSE)</f>
        <v>Marketing</v>
      </c>
      <c r="H13" s="7" t="str">
        <f>INDEX(Departments!$A$2:$C$6,MATCH(F13,Departments!$A$2:$A$6,0),MATCH("Manager",Departments!$A$1:$C$1,0))</f>
        <v>Neha Kapoor</v>
      </c>
      <c r="I13" s="8">
        <f>DATEVALUE('Raw Data'!E13)</f>
        <v>44977</v>
      </c>
      <c r="J13" s="6">
        <f t="shared" si="2"/>
        <v>2023</v>
      </c>
      <c r="K13" s="6" t="str">
        <f t="shared" si="3"/>
        <v>February</v>
      </c>
      <c r="L13" s="7" t="str">
        <f t="shared" ca="1" si="4"/>
        <v>3yrs4Months</v>
      </c>
      <c r="M13" s="6"/>
      <c r="N13" s="8">
        <f t="shared" ca="1" si="5"/>
        <v>887</v>
      </c>
      <c r="O13" s="8" t="str">
        <f>_xlfn.TEXTJOIN(",",TRUE,'Raw Data'!F13,'Raw Data'!G13,'Raw Data'!H13,'Raw Data'!I13)</f>
        <v>78 Cypress Ln,Hyderabad,TS,500003</v>
      </c>
      <c r="P13" s="6" t="str">
        <f>SUBSTITUTE(SUBSTITUTE(SUBSTITUTE(SUBSTITUTE('Raw Data'!J13,"(",""),")",""),"-",""),  " ", "")</f>
        <v>9876543221</v>
      </c>
      <c r="Q13" s="6" t="str">
        <f t="shared" si="6"/>
        <v>(987) 654-3221</v>
      </c>
      <c r="R13" s="7" t="str">
        <f t="shared" si="7"/>
        <v>pooja.verma@company.com</v>
      </c>
      <c r="S13" s="6" t="str">
        <f ca="1">VLOOKUP(DATEDIF('Clean Table'!I13,TODAY(),"y"),'Tenure Bands'!$A$2:$B$5,2,TRUE)</f>
        <v>Mid-Level (2-5 yrs)</v>
      </c>
    </row>
    <row r="14" spans="1:19">
      <c r="A14" s="6" t="str">
        <f>TEXT('Raw Data'!A14,"0000")</f>
        <v>1013</v>
      </c>
      <c r="B14" s="6" t="str">
        <f>PROPER(TRIM(CLEAN('Raw Data'!B14)))</f>
        <v>Arjun</v>
      </c>
      <c r="C14" s="6" t="str">
        <f>PROPER(TRIM(CLEAN('Raw Data'!C14)))</f>
        <v>Gupta</v>
      </c>
      <c r="D14" s="6" t="str">
        <f t="shared" si="0"/>
        <v>Arjun Gupta</v>
      </c>
      <c r="E14" s="6" t="str">
        <f t="shared" si="1"/>
        <v>AG</v>
      </c>
      <c r="F14" s="6" t="str">
        <f>UPPER(TRIM('Raw Data'!D14))</f>
        <v>HR</v>
      </c>
      <c r="G14" s="6" t="str">
        <f>VLOOKUP(F14,Departments!$A$2:$C$6,2,FALSE)</f>
        <v>Human Resources</v>
      </c>
      <c r="H14" s="7" t="str">
        <f>INDEX(Departments!$A$2:$C$6,MATCH(F14,Departments!$A$2:$A$6,0),MATCH("Manager",Departments!$A$1:$C$1,0))</f>
        <v>Ramesh Iyer</v>
      </c>
      <c r="I14" s="8">
        <f>DATEVALUE('Raw Data'!E14)</f>
        <v>43384</v>
      </c>
      <c r="J14" s="6">
        <f t="shared" si="2"/>
        <v>2018</v>
      </c>
      <c r="K14" s="6" t="str">
        <f t="shared" si="3"/>
        <v>October</v>
      </c>
      <c r="L14" s="7" t="str">
        <f t="shared" ca="1" si="4"/>
        <v>7yrs9Months</v>
      </c>
      <c r="M14" s="6"/>
      <c r="N14" s="8">
        <f t="shared" ca="1" si="5"/>
        <v>2024</v>
      </c>
      <c r="O14" s="8" t="str">
        <f>_xlfn.TEXTJOIN(",",TRUE,'Raw Data'!F14,'Raw Data'!G14,'Raw Data'!H14,'Raw Data'!I14)</f>
        <v>23 Redwood Dr,Chennai,TN,600007</v>
      </c>
      <c r="P14" s="6" t="str">
        <f>SUBSTITUTE(SUBSTITUTE(SUBSTITUTE(SUBSTITUTE('Raw Data'!J14,"(",""),")",""),"-",""),  " ", "")</f>
        <v>9876543222</v>
      </c>
      <c r="Q14" s="6" t="str">
        <f t="shared" si="6"/>
        <v>(987) 654-3222</v>
      </c>
      <c r="R14" s="7" t="str">
        <f t="shared" si="7"/>
        <v>arjun.gupta@company.com</v>
      </c>
      <c r="S14" s="6" t="str">
        <f ca="1">VLOOKUP(DATEDIF('Clean Table'!I14,TODAY(),"y"),'Tenure Bands'!$A$2:$B$5,2,TRUE)</f>
        <v>Senior (5-10 yrs)</v>
      </c>
    </row>
    <row r="15" spans="1:19">
      <c r="A15" s="6" t="str">
        <f>TEXT('Raw Data'!A15,"0000")</f>
        <v>1014</v>
      </c>
      <c r="B15" s="6" t="str">
        <f>PROPER(TRIM(CLEAN('Raw Data'!B15)))</f>
        <v>Divya</v>
      </c>
      <c r="C15" s="6" t="str">
        <f>PROPER(TRIM(CLEAN('Raw Data'!C15)))</f>
        <v>Menon</v>
      </c>
      <c r="D15" s="6" t="str">
        <f t="shared" si="0"/>
        <v>Divya Menon</v>
      </c>
      <c r="E15" s="6" t="str">
        <f t="shared" si="1"/>
        <v>DM</v>
      </c>
      <c r="F15" s="6" t="str">
        <f>UPPER(TRIM('Raw Data'!D15))</f>
        <v>IT</v>
      </c>
      <c r="G15" s="6" t="str">
        <f>VLOOKUP(F15,Departments!$A$2:$C$6,2,FALSE)</f>
        <v>Information Technology</v>
      </c>
      <c r="H15" s="7" t="str">
        <f>INDEX(Departments!$A$2:$C$6,MATCH(F15,Departments!$A$2:$A$6,0),MATCH("Manager",Departments!$A$1:$C$1,0))</f>
        <v>Suresh Babu</v>
      </c>
      <c r="I15" s="8">
        <f>DATEVALUE('Raw Data'!E15)</f>
        <v>44711</v>
      </c>
      <c r="J15" s="6">
        <f t="shared" si="2"/>
        <v>2022</v>
      </c>
      <c r="K15" s="6" t="str">
        <f t="shared" si="3"/>
        <v>May</v>
      </c>
      <c r="L15" s="7" t="str">
        <f t="shared" ca="1" si="4"/>
        <v>4yrs1Months</v>
      </c>
      <c r="M15" s="6"/>
      <c r="N15" s="8">
        <f t="shared" ca="1" si="5"/>
        <v>1077</v>
      </c>
      <c r="O15" s="8" t="str">
        <f>_xlfn.TEXTJOIN(",",TRUE,'Raw Data'!F15,'Raw Data'!G15,'Raw Data'!H15,'Raw Data'!I15)</f>
        <v>56 Sequoia St,Bengaluru,KA,560004</v>
      </c>
      <c r="P15" s="6" t="str">
        <f>SUBSTITUTE(SUBSTITUTE(SUBSTITUTE(SUBSTITUTE('Raw Data'!J15,"(",""),")",""),"-",""),  " ", "")</f>
        <v>9876543223</v>
      </c>
      <c r="Q15" s="6" t="str">
        <f t="shared" si="6"/>
        <v>(987) 654-3223</v>
      </c>
      <c r="R15" s="7" t="str">
        <f t="shared" si="7"/>
        <v>divya.menon@company.com</v>
      </c>
      <c r="S15" s="6" t="str">
        <f ca="1">VLOOKUP(DATEDIF('Clean Table'!I15,TODAY(),"y"),'Tenure Bands'!$A$2:$B$5,2,TRUE)</f>
        <v>Mid-Level (2-5 yrs)</v>
      </c>
    </row>
    <row r="16" spans="1:19">
      <c r="A16" s="6" t="str">
        <f>TEXT('Raw Data'!A16,"0000")</f>
        <v>1015</v>
      </c>
      <c r="B16" s="6" t="str">
        <f>PROPER(TRIM(CLEAN('Raw Data'!B16)))</f>
        <v>Sanjay</v>
      </c>
      <c r="C16" s="6" t="str">
        <f>PROPER(TRIM(CLEAN('Raw Data'!C16)))</f>
        <v>Yadav</v>
      </c>
      <c r="D16" s="6" t="str">
        <f t="shared" si="0"/>
        <v>Sanjay Yadav</v>
      </c>
      <c r="E16" s="6" t="str">
        <f t="shared" si="1"/>
        <v>SY</v>
      </c>
      <c r="F16" s="6" t="str">
        <f>UPPER(TRIM('Raw Data'!D16))</f>
        <v>FIN</v>
      </c>
      <c r="G16" s="6" t="str">
        <f>VLOOKUP(F16,Departments!$A$2:$C$6,2,FALSE)</f>
        <v>Finance</v>
      </c>
      <c r="H16" s="7" t="str">
        <f>INDEX(Departments!$A$2:$C$6,MATCH(F16,Departments!$A$2:$A$6,0),MATCH("Manager",Departments!$A$1:$C$1,0))</f>
        <v>Lakshmi Narayanan</v>
      </c>
      <c r="I16" s="8">
        <f>DATEVALUE('Raw Data'!E16)</f>
        <v>43654</v>
      </c>
      <c r="J16" s="6">
        <f t="shared" si="2"/>
        <v>2019</v>
      </c>
      <c r="K16" s="6" t="str">
        <f t="shared" si="3"/>
        <v>July</v>
      </c>
      <c r="L16" s="7" t="str">
        <f t="shared" ca="1" si="4"/>
        <v>7yrs0Months</v>
      </c>
      <c r="M16" s="6"/>
      <c r="N16" s="8">
        <f t="shared" ca="1" si="5"/>
        <v>1832</v>
      </c>
      <c r="O16" s="8" t="str">
        <f>_xlfn.TEXTJOIN(",",TRUE,'Raw Data'!F16,'Raw Data'!G16,'Raw Data'!H16,'Raw Data'!I16)</f>
        <v>89 Magnolia Ave,Chennai,TN,600008</v>
      </c>
      <c r="P16" s="6" t="str">
        <f>SUBSTITUTE(SUBSTITUTE(SUBSTITUTE(SUBSTITUTE('Raw Data'!J16,"(",""),")",""),"-",""),  " ", "")</f>
        <v>9876543224</v>
      </c>
      <c r="Q16" s="6" t="str">
        <f t="shared" si="6"/>
        <v>(987) 654-3224</v>
      </c>
      <c r="R16" s="7" t="str">
        <f t="shared" si="7"/>
        <v>sanjay.yadav@company.com</v>
      </c>
      <c r="S16" s="6" t="str">
        <f ca="1">VLOOKUP(DATEDIF('Clean Table'!I16,TODAY(),"y"),'Tenure Bands'!$A$2:$B$5,2,TRUE)</f>
        <v>Senior (5-10 yrs)</v>
      </c>
    </row>
    <row r="17" spans="1:18">
      <c r="R17" s="5"/>
    </row>
    <row r="18" spans="1:18">
      <c r="R18" s="5"/>
    </row>
    <row r="19" spans="1:18">
      <c r="A1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Shuba R</cp:lastModifiedBy>
  <cp:revision/>
  <dcterms:created xsi:type="dcterms:W3CDTF">2026-07-14T00:11:50Z</dcterms:created>
  <dcterms:modified xsi:type="dcterms:W3CDTF">2026-07-14T14:09:38Z</dcterms:modified>
  <cp:category/>
  <cp:contentStatus/>
</cp:coreProperties>
</file>